
<file path=[Content_Types].xml><?xml version="1.0" encoding="utf-8"?>
<Types xmlns="http://schemas.openxmlformats.org/package/2006/content-types"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threadedComments/threadedComment1.xml" ContentType="application/vnd.ms-excel.threadedcomments+xml"/>
  <Override PartName="/xl/persons/person.xml" ContentType="application/vnd.ms-excel.person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30026"/>
  <workbookPr/>
  <mc:AlternateContent xmlns:mc="http://schemas.openxmlformats.org/markup-compatibility/2006">
    <mc:Choice Requires="x15">
      <x15ac:absPath xmlns:x15ac="http://schemas.microsoft.com/office/spreadsheetml/2010/11/ac" url="C:\Users\ricky\DTU\42001 Large scale energy systems analysis\Assignment\42001-Large-Scale-Energy-system-analysis\BalmorelSimpleModel\Balmorel\base\"/>
    </mc:Choice>
  </mc:AlternateContent>
  <xr:revisionPtr revIDLastSave="0" documentId="13_ncr:1_{E210A3A0-2047-4EA9-A1E0-F62E7FB0F9A8}" xr6:coauthVersionLast="47" xr6:coauthVersionMax="47" xr10:uidLastSave="{00000000-0000-0000-0000-000000000000}"/>
  <bookViews>
    <workbookView xWindow="8" yWindow="8" windowWidth="21585" windowHeight="12765" xr2:uid="{00000000-000D-0000-FFFF-FFFF00000000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F27" i="1" l="1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tc={CA0D3104-A757-4F56-8015-909793FE917A}</author>
    <author>tc={6FCE2D06-D661-40E1-A4CD-8ED6E5FE04C3}</author>
  </authors>
  <commentList>
    <comment ref="A3" authorId="0" shapeId="0" xr:uid="{CA0D3104-A757-4F56-8015-909793FE917A}">
      <text>
        <t>[Threaded comment]
Your version of Excel allows you to read this threaded comment; however, any edits to it will get removed if the file is opened in a newer version of Excel. Learn more: https://go.microsoft.com/fwlink/?linkid=870924
Comment:
    Outdated technologies, but we can keep them since the model doesn’t invest on them anyways</t>
      </text>
    </comment>
    <comment ref="A16" authorId="1" shapeId="0" xr:uid="{6FCE2D06-D661-40E1-A4CD-8ED6E5FE04C3}">
      <text>
        <t>[Threaded comment]
Your version of Excel allows you to read this threaded comment; however, any edits to it will get removed if the file is opened in a newer version of Excel. Learn more: https://go.microsoft.com/fwlink/?linkid=870924
Comment:
    It’s expiring in 2019, so we’ll never see it</t>
      </text>
    </comment>
  </commentList>
</comments>
</file>

<file path=xl/sharedStrings.xml><?xml version="1.0" encoding="utf-8"?>
<sst xmlns="http://schemas.openxmlformats.org/spreadsheetml/2006/main" count="35" uniqueCount="35">
  <si>
    <t>GNR_ES_ELEC_BAT-LEAD_E-82_Y-2020</t>
  </si>
  <si>
    <t>GNR_ES_ELEC_BAT-LEAD_E-85_Y-2030</t>
  </si>
  <si>
    <t>GNR_ES_ELEC_BAT-LITHIO-GRID_E-86_Y-2020</t>
  </si>
  <si>
    <t>GNR_ES_ELEC_BAT-LITHIO-GRID_E-86_Y-2030</t>
  </si>
  <si>
    <t>GNR_ES_ELEC_BAT-LITHIO-GRID_E-86_Y-2040</t>
  </si>
  <si>
    <t>GNR_ES_ELEC_BAT-LITHIO-GRID_E-86_Y-2050</t>
  </si>
  <si>
    <t>GNR_ES_ELEC_BAT-LITHIO-PEAK_E-86_Y-2020</t>
  </si>
  <si>
    <t>GNR_ES_ELEC_BAT-LITHIO-PEAK_E-86_Y-2030</t>
  </si>
  <si>
    <t>GNR_ES_ELEC_BAT-LITHIO-PEAK_E-86_Y-2040</t>
  </si>
  <si>
    <t>GNR_ES_ELEC_BAT-LITHIO-PEAK_E-86_Y-2050</t>
  </si>
  <si>
    <t>GNR_ES_ELEC_BAT-NAS_E-80_Y-2020</t>
  </si>
  <si>
    <t>GNR_ES_ELEC_BAT-NAS_E-85_Y-2030</t>
  </si>
  <si>
    <t>GNR_ES_ELEC_BAT-VRFB_E-78_Y-2020</t>
  </si>
  <si>
    <t>BESS technology</t>
  </si>
  <si>
    <t>Investment cost (MMoney/MWh)</t>
  </si>
  <si>
    <t>Technology available for investments from this year</t>
  </si>
  <si>
    <t>Economic lifetime (years)</t>
  </si>
  <si>
    <t>Technology investment expires from this year (blank or 0 implies no expiration)</t>
  </si>
  <si>
    <t>Hours to load storage</t>
  </si>
  <si>
    <t>Hours to unload storage</t>
  </si>
  <si>
    <t>Stationary loss from storage (MWh loss per time period/MWh energy content in storage)</t>
  </si>
  <si>
    <r>
      <t>Standard size of unit type (MW</t>
    </r>
    <r>
      <rPr>
        <sz val="11"/>
        <color rgb="FFFF0000"/>
        <rFont val="Calibri"/>
        <family val="2"/>
        <scheme val="minor"/>
      </rPr>
      <t>h</t>
    </r>
    <r>
      <rPr>
        <sz val="11"/>
        <color theme="1"/>
        <rFont val="Calibri"/>
        <family val="2"/>
        <scheme val="minor"/>
      </rPr>
      <t>)</t>
    </r>
  </si>
  <si>
    <t>'Forced Outage Rate (fraction)'</t>
  </si>
  <si>
    <t>'Annual planned maintenance (hours)'</t>
  </si>
  <si>
    <t>Fuel efficiency</t>
  </si>
  <si>
    <t>Annual operating and maintenance costs (kMoney/MW/year)</t>
  </si>
  <si>
    <t>GNR_ES_ELEC_BAT-SODIUM-ION Y-2030</t>
  </si>
  <si>
    <t>GNR_ES_ELEC_BAT-SODIUM-ION Y-2040</t>
  </si>
  <si>
    <t>GNR_ES_ELEC_BAT-SODIUM-ION Y-2050</t>
  </si>
  <si>
    <t>GNR_ES_ELEC_BAT-NAS_E-85_Y-2040</t>
  </si>
  <si>
    <t>GNR_ES_ELEC_BAT-NAS_E-85_Y-2050</t>
  </si>
  <si>
    <t>GNR_ES_ELEC_BAT-VRFB_E-70 Y-2020</t>
  </si>
  <si>
    <t>GNR_ES_ELEC_BAT-VRFB_E-78_Y-2030</t>
  </si>
  <si>
    <t>GNR_ES_ELEC_BAT-VRFB_E-78_Y-2040</t>
  </si>
  <si>
    <t>GNR_ES_ELEC_BAT-VRFB_E-78_Y-2050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</si>
</sst>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Calibri"/>
      <family val="2"/>
      <scheme val="minor"/>
    </font>
    <font>
      <sz val="11"/>
      <color rgb="FFFF0000"/>
      <name val="Calibri"/>
      <family val="2"/>
      <scheme val="minor"/>
    </font>
    <font>
      <sz val="11"/>
      <color indexed="8"/>
      <name val="Calibri"/>
      <family val="2"/>
    </font>
    <font>
      <sz val="8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0" fillId="0" borderId="0" xfId="0" applyAlignment="1">
      <alignment wrapText="1"/>
    </xf>
    <xf numFmtId="0" fontId="2" fillId="0" borderId="0" xfId="0" quotePrefix="1" applyFont="1" applyAlignment="1">
      <alignment wrapText="1"/>
    </xf>
    <xf numFmtId="0" fontId="1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microsoft.com/office/2017/10/relationships/person" Target="persons/person.xml"/><Relationship Id="rId4" Type="http://schemas.openxmlformats.org/officeDocument/2006/relationships/sharedStrings" Target="sharedStrings.xml"/></Relationships>
</file>

<file path=xl/persons/person.xml><?xml version="1.0" encoding="utf-8"?>
<personList xmlns="http://schemas.microsoft.com/office/spreadsheetml/2018/threadedcomments" xmlns:x="http://schemas.openxmlformats.org/spreadsheetml/2006/main">
  <person displayName="Riccardo Basso" id="{9DD0AD1C-1E5C-44CB-856F-05107959A3FF}" userId="e1430f103f632e27" providerId="Windows Live"/>
</personList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threadedComments/threadedComment1.xml><?xml version="1.0" encoding="utf-8"?>
<ThreadedComments xmlns="http://schemas.microsoft.com/office/spreadsheetml/2018/threadedcomments" xmlns:x="http://schemas.openxmlformats.org/spreadsheetml/2006/main">
  <threadedComment ref="A3" dT="2026-06-17T11:30:26.91" personId="{9DD0AD1C-1E5C-44CB-856F-05107959A3FF}" id="{CA0D3104-A757-4F56-8015-909793FE917A}">
    <text>Outdated technologies, but we can keep them since the model doesn’t invest on them anyways</text>
  </threadedComment>
  <threadedComment ref="A16" dT="2026-06-17T12:46:37.57" personId="{9DD0AD1C-1E5C-44CB-856F-05107959A3FF}" id="{6FCE2D06-D661-40E1-A4CD-8ED6E5FE04C3}">
    <text>It’s expiring in 2019, so we’ll never see it</text>
  </threadedComment>
</ThreadedComments>
</file>

<file path=xl/worksheets/_rels/sheet1.xml.rels><?xml version="1.0" encoding="UTF-8" standalone="yes"?>
<Relationships xmlns="http://schemas.openxmlformats.org/package/2006/relationships"><Relationship Id="rId3" Type="http://schemas.microsoft.com/office/2017/10/relationships/threadedComment" Target="../threadedComments/threadedComment1.xml"/><Relationship Id="rId2" Type="http://schemas.openxmlformats.org/officeDocument/2006/relationships/comments" Target="../comments1.xml"/><Relationship Id="rId1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M27"/>
  <sheetViews>
    <sheetView tabSelected="1" workbookViewId="0">
      <selection activeCell="J1" sqref="J1"/>
    </sheetView>
  </sheetViews>
  <sheetFormatPr defaultRowHeight="14.25" x14ac:dyDescent="0.45"/>
  <cols>
    <col min="1" max="1" width="38.59765625" bestFit="1" customWidth="1"/>
    <col min="2" max="2" width="38.59765625" customWidth="1"/>
    <col min="3" max="3" width="15.265625" bestFit="1" customWidth="1"/>
    <col min="4" max="4" width="11.265625" bestFit="1" customWidth="1"/>
    <col min="6" max="6" width="8.73046875" bestFit="1" customWidth="1"/>
    <col min="7" max="7" width="9.1328125" bestFit="1" customWidth="1"/>
    <col min="8" max="9" width="7.796875" bestFit="1" customWidth="1"/>
    <col min="10" max="10" width="9.265625" bestFit="1" customWidth="1"/>
    <col min="11" max="11" width="8.33203125" bestFit="1" customWidth="1"/>
    <col min="12" max="12" width="9" bestFit="1" customWidth="1"/>
    <col min="13" max="13" width="33.1328125" bestFit="1" customWidth="1"/>
  </cols>
  <sheetData>
    <row r="1" spans="1:13" ht="156.75" x14ac:dyDescent="0.45">
      <c r="A1" t="s">
        <v>13</v>
      </c>
      <c r="B1" s="1" t="s">
        <v>24</v>
      </c>
      <c r="C1" s="1" t="s">
        <v>25</v>
      </c>
      <c r="D1" s="1" t="s">
        <v>14</v>
      </c>
      <c r="E1" s="1" t="s">
        <v>15</v>
      </c>
      <c r="F1" s="1" t="s">
        <v>16</v>
      </c>
      <c r="G1" s="1" t="s">
        <v>17</v>
      </c>
      <c r="H1" s="1" t="s">
        <v>18</v>
      </c>
      <c r="I1" s="1" t="s">
        <v>19</v>
      </c>
      <c r="J1" s="1" t="s">
        <v>20</v>
      </c>
      <c r="K1" s="1" t="s">
        <v>21</v>
      </c>
      <c r="L1" s="2" t="s">
        <v>22</v>
      </c>
      <c r="M1" t="s">
        <v>23</v>
      </c>
    </row>
    <row r="2" spans="1:13" s="3" customFormat="1" x14ac:dyDescent="0.45">
      <c r="A2" s="3" t="s">
        <v>0</v>
      </c>
      <c r="B2" s="3">
        <v>0.82</v>
      </c>
      <c r="C2" s="3">
        <v>13.248539295</v>
      </c>
      <c r="E2" s="3">
        <v>2020</v>
      </c>
      <c r="F2" s="3">
        <v>9</v>
      </c>
      <c r="G2" s="3">
        <v>2029</v>
      </c>
      <c r="H2" s="3">
        <v>0.5</v>
      </c>
      <c r="I2" s="3">
        <v>0.5</v>
      </c>
      <c r="J2" s="3">
        <v>0.25</v>
      </c>
      <c r="K2" s="3">
        <v>1</v>
      </c>
      <c r="L2" s="3">
        <v>3.8E-3</v>
      </c>
      <c r="M2" s="3">
        <v>33.6</v>
      </c>
    </row>
    <row r="3" spans="1:13" s="3" customFormat="1" x14ac:dyDescent="0.45">
      <c r="A3" s="3" t="s">
        <v>1</v>
      </c>
      <c r="B3" s="3">
        <v>0.85</v>
      </c>
      <c r="C3" s="3">
        <v>13.248539295</v>
      </c>
      <c r="E3" s="3">
        <v>2030</v>
      </c>
      <c r="F3" s="3">
        <v>13</v>
      </c>
      <c r="G3" s="3">
        <v>2050</v>
      </c>
      <c r="H3" s="3">
        <v>0.5</v>
      </c>
      <c r="I3" s="3">
        <v>0.5</v>
      </c>
      <c r="J3" s="3">
        <v>0.25</v>
      </c>
      <c r="K3" s="3">
        <v>1</v>
      </c>
      <c r="L3" s="3">
        <v>3.5000000000000001E-3</v>
      </c>
      <c r="M3" s="3">
        <v>16.8</v>
      </c>
    </row>
    <row r="4" spans="1:13" x14ac:dyDescent="0.45">
      <c r="A4" t="s">
        <v>2</v>
      </c>
      <c r="B4">
        <v>0.86</v>
      </c>
      <c r="C4">
        <v>0.37064363601273764</v>
      </c>
      <c r="E4">
        <v>2020</v>
      </c>
      <c r="F4">
        <v>20</v>
      </c>
      <c r="G4">
        <v>2029</v>
      </c>
      <c r="H4">
        <v>6</v>
      </c>
      <c r="I4">
        <v>6</v>
      </c>
      <c r="K4">
        <v>10</v>
      </c>
      <c r="L4">
        <v>3.8E-3</v>
      </c>
      <c r="M4">
        <v>33.6</v>
      </c>
    </row>
    <row r="5" spans="1:13" x14ac:dyDescent="0.45">
      <c r="A5" t="s">
        <v>3</v>
      </c>
      <c r="B5">
        <v>0.9</v>
      </c>
      <c r="C5">
        <v>0.2965149088101901</v>
      </c>
      <c r="E5">
        <v>2030</v>
      </c>
      <c r="F5">
        <v>20</v>
      </c>
      <c r="G5">
        <v>2039</v>
      </c>
      <c r="H5">
        <v>6</v>
      </c>
      <c r="I5">
        <v>6</v>
      </c>
      <c r="K5">
        <v>10</v>
      </c>
      <c r="L5">
        <v>3.5000000000000001E-3</v>
      </c>
      <c r="M5">
        <v>16.8</v>
      </c>
    </row>
    <row r="6" spans="1:13" x14ac:dyDescent="0.45">
      <c r="A6" t="s">
        <v>4</v>
      </c>
      <c r="B6">
        <v>0.95</v>
      </c>
      <c r="C6">
        <v>0.22238618160764259</v>
      </c>
      <c r="E6">
        <v>2040</v>
      </c>
      <c r="F6">
        <v>20</v>
      </c>
      <c r="G6">
        <v>2049</v>
      </c>
      <c r="H6">
        <v>6</v>
      </c>
      <c r="I6">
        <v>6</v>
      </c>
      <c r="K6">
        <v>10</v>
      </c>
      <c r="L6">
        <v>3.0000000000000001E-3</v>
      </c>
      <c r="M6">
        <v>16.8</v>
      </c>
    </row>
    <row r="7" spans="1:13" x14ac:dyDescent="0.45">
      <c r="A7" t="s">
        <v>5</v>
      </c>
      <c r="B7">
        <v>0.95</v>
      </c>
      <c r="C7">
        <v>0.14825745440509505</v>
      </c>
      <c r="E7">
        <v>2050</v>
      </c>
      <c r="F7">
        <v>20</v>
      </c>
      <c r="G7">
        <v>2050</v>
      </c>
      <c r="H7">
        <v>6</v>
      </c>
      <c r="I7">
        <v>6</v>
      </c>
      <c r="K7">
        <v>10</v>
      </c>
      <c r="L7">
        <v>2.5000000000000001E-3</v>
      </c>
      <c r="M7">
        <v>16.8</v>
      </c>
    </row>
    <row r="8" spans="1:13" x14ac:dyDescent="0.45">
      <c r="A8" t="s">
        <v>6</v>
      </c>
      <c r="B8">
        <v>0.86</v>
      </c>
      <c r="C8">
        <v>2.6599131525619994</v>
      </c>
      <c r="E8">
        <v>2020</v>
      </c>
      <c r="F8">
        <v>20</v>
      </c>
      <c r="G8">
        <v>2029</v>
      </c>
      <c r="H8">
        <v>4</v>
      </c>
      <c r="I8">
        <v>4</v>
      </c>
      <c r="K8">
        <v>100</v>
      </c>
      <c r="L8">
        <v>3.8E-3</v>
      </c>
      <c r="M8">
        <v>33.6</v>
      </c>
    </row>
    <row r="9" spans="1:13" x14ac:dyDescent="0.45">
      <c r="A9" t="s">
        <v>7</v>
      </c>
      <c r="B9">
        <v>0.9</v>
      </c>
      <c r="C9">
        <v>2.1279305220495996</v>
      </c>
      <c r="E9">
        <v>2030</v>
      </c>
      <c r="F9">
        <v>20</v>
      </c>
      <c r="G9">
        <v>2039</v>
      </c>
      <c r="H9">
        <v>4</v>
      </c>
      <c r="I9">
        <v>4</v>
      </c>
      <c r="K9">
        <v>100</v>
      </c>
      <c r="L9">
        <v>3.5000000000000001E-3</v>
      </c>
      <c r="M9">
        <v>16.8</v>
      </c>
    </row>
    <row r="10" spans="1:13" x14ac:dyDescent="0.45">
      <c r="A10" t="s">
        <v>8</v>
      </c>
      <c r="B10">
        <v>0.95</v>
      </c>
      <c r="C10">
        <v>1.5959478915371996</v>
      </c>
      <c r="E10">
        <v>2040</v>
      </c>
      <c r="F10">
        <v>20</v>
      </c>
      <c r="G10">
        <v>2049</v>
      </c>
      <c r="H10">
        <v>4</v>
      </c>
      <c r="I10">
        <v>4</v>
      </c>
      <c r="K10">
        <v>100</v>
      </c>
      <c r="L10">
        <v>3.0000000000000001E-3</v>
      </c>
      <c r="M10">
        <v>16.8</v>
      </c>
    </row>
    <row r="11" spans="1:13" x14ac:dyDescent="0.45">
      <c r="A11" t="s">
        <v>9</v>
      </c>
      <c r="B11">
        <v>0.95</v>
      </c>
      <c r="C11">
        <v>1.0639652610247998</v>
      </c>
      <c r="E11">
        <v>2050</v>
      </c>
      <c r="F11">
        <v>20</v>
      </c>
      <c r="G11">
        <v>2050</v>
      </c>
      <c r="H11">
        <v>4</v>
      </c>
      <c r="I11">
        <v>4</v>
      </c>
      <c r="K11">
        <v>100</v>
      </c>
      <c r="L11">
        <v>2.5000000000000001E-3</v>
      </c>
      <c r="M11">
        <v>16.8</v>
      </c>
    </row>
    <row r="12" spans="1:13" x14ac:dyDescent="0.45">
      <c r="A12" t="s">
        <v>10</v>
      </c>
      <c r="B12">
        <v>0.8</v>
      </c>
      <c r="C12">
        <v>52.349908901999996</v>
      </c>
      <c r="E12">
        <v>2020</v>
      </c>
      <c r="F12">
        <v>17</v>
      </c>
      <c r="G12">
        <v>2029</v>
      </c>
      <c r="H12">
        <v>9</v>
      </c>
      <c r="I12">
        <v>12</v>
      </c>
      <c r="J12">
        <v>0.05</v>
      </c>
      <c r="K12">
        <v>1</v>
      </c>
      <c r="L12">
        <v>3.8E-3</v>
      </c>
      <c r="M12">
        <v>33.6</v>
      </c>
    </row>
    <row r="13" spans="1:13" x14ac:dyDescent="0.45">
      <c r="A13" t="s">
        <v>11</v>
      </c>
      <c r="B13">
        <v>0.85</v>
      </c>
      <c r="C13">
        <v>52.349908901999996</v>
      </c>
      <c r="E13">
        <v>2030</v>
      </c>
      <c r="F13">
        <v>24</v>
      </c>
      <c r="G13">
        <v>2050</v>
      </c>
      <c r="H13">
        <v>9</v>
      </c>
      <c r="I13">
        <v>12</v>
      </c>
      <c r="J13">
        <v>0.05</v>
      </c>
      <c r="K13">
        <v>1</v>
      </c>
      <c r="L13">
        <v>3.5000000000000001E-3</v>
      </c>
      <c r="M13">
        <v>16.8</v>
      </c>
    </row>
    <row r="14" spans="1:13" x14ac:dyDescent="0.45">
      <c r="A14" t="s">
        <v>29</v>
      </c>
    </row>
    <row r="15" spans="1:13" x14ac:dyDescent="0.45">
      <c r="A15" t="s">
        <v>30</v>
      </c>
    </row>
    <row r="16" spans="1:13" s="3" customFormat="1" x14ac:dyDescent="0.45">
      <c r="A16" s="3" t="s">
        <v>31</v>
      </c>
      <c r="B16" s="3">
        <v>0.7</v>
      </c>
      <c r="C16" s="3">
        <v>55.429315308</v>
      </c>
      <c r="D16" s="3">
        <v>0.63</v>
      </c>
      <c r="E16" s="3">
        <v>2020</v>
      </c>
      <c r="F16" s="3">
        <v>12</v>
      </c>
      <c r="G16" s="3">
        <v>2019</v>
      </c>
      <c r="H16" s="3">
        <v>0.1</v>
      </c>
      <c r="I16" s="3">
        <v>0.1</v>
      </c>
      <c r="J16" s="3">
        <v>0.15</v>
      </c>
      <c r="K16" s="3">
        <v>1</v>
      </c>
      <c r="L16" s="3">
        <v>3.8E-3</v>
      </c>
      <c r="M16" s="3">
        <v>33.6</v>
      </c>
    </row>
    <row r="17" spans="1:13" x14ac:dyDescent="0.45">
      <c r="A17" t="s">
        <v>12</v>
      </c>
      <c r="B17">
        <v>0.78</v>
      </c>
      <c r="C17">
        <v>6.3</v>
      </c>
      <c r="D17">
        <v>0.63</v>
      </c>
      <c r="E17">
        <v>2020</v>
      </c>
      <c r="F17">
        <v>20</v>
      </c>
      <c r="G17">
        <v>2050</v>
      </c>
      <c r="H17">
        <v>2</v>
      </c>
      <c r="I17">
        <v>2</v>
      </c>
      <c r="J17">
        <v>0.5</v>
      </c>
      <c r="K17">
        <v>1</v>
      </c>
      <c r="L17">
        <v>5.0000000000000001E-3</v>
      </c>
      <c r="M17">
        <v>33.6</v>
      </c>
    </row>
    <row r="18" spans="1:13" x14ac:dyDescent="0.45">
      <c r="A18" t="s">
        <v>32</v>
      </c>
      <c r="B18">
        <v>0.8</v>
      </c>
      <c r="C18">
        <v>4.0875000000000004</v>
      </c>
      <c r="D18">
        <v>0.54500000000000004</v>
      </c>
      <c r="E18">
        <v>2030</v>
      </c>
      <c r="F18">
        <v>30</v>
      </c>
      <c r="G18">
        <v>2039</v>
      </c>
      <c r="H18">
        <v>1.2</v>
      </c>
      <c r="I18">
        <v>1.2</v>
      </c>
      <c r="J18">
        <v>0.2</v>
      </c>
      <c r="L18">
        <v>2E-3</v>
      </c>
    </row>
    <row r="19" spans="1:13" x14ac:dyDescent="0.45">
      <c r="A19" t="s">
        <v>33</v>
      </c>
      <c r="B19">
        <v>0.83</v>
      </c>
      <c r="C19">
        <v>2.9273076923076924</v>
      </c>
      <c r="D19">
        <v>0.39030769230769236</v>
      </c>
      <c r="E19">
        <v>2040</v>
      </c>
      <c r="F19">
        <v>35</v>
      </c>
      <c r="G19">
        <v>2049</v>
      </c>
      <c r="H19">
        <v>1.3</v>
      </c>
      <c r="I19">
        <v>1.3</v>
      </c>
      <c r="J19">
        <v>0.15</v>
      </c>
      <c r="L19">
        <v>1.5E-3</v>
      </c>
    </row>
    <row r="20" spans="1:13" x14ac:dyDescent="0.45">
      <c r="A20" t="s">
        <v>34</v>
      </c>
      <c r="B20">
        <v>0.85</v>
      </c>
      <c r="C20">
        <v>2.3874999999999997</v>
      </c>
      <c r="D20">
        <v>0.3183333333333333</v>
      </c>
      <c r="E20">
        <v>2050</v>
      </c>
      <c r="F20">
        <v>40</v>
      </c>
      <c r="G20">
        <v>2050</v>
      </c>
      <c r="H20">
        <v>1.5</v>
      </c>
      <c r="I20">
        <v>1.5</v>
      </c>
      <c r="J20">
        <v>0.1</v>
      </c>
      <c r="L20">
        <v>1E-3</v>
      </c>
    </row>
    <row r="21" spans="1:13" x14ac:dyDescent="0.45">
      <c r="A21" t="s">
        <v>26</v>
      </c>
    </row>
    <row r="22" spans="1:13" x14ac:dyDescent="0.45">
      <c r="A22" t="s">
        <v>27</v>
      </c>
    </row>
    <row r="23" spans="1:13" x14ac:dyDescent="0.45">
      <c r="A23" t="s">
        <v>28</v>
      </c>
    </row>
    <row r="27" spans="1:13" x14ac:dyDescent="0.45">
      <c r="F27">
        <f>0.75/0.5</f>
        <v>1.5</v>
      </c>
    </row>
  </sheetData>
  <phoneticPr fontId="3" type="noConversion"/>
  <pageMargins left="0.7" right="0.7" top="0.75" bottom="0.75" header="0.3" footer="0.3"/>
  <legacy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Riccardo Basso</dc:creator>
  <cp:lastModifiedBy>Riccardo Basso</cp:lastModifiedBy>
  <dcterms:created xsi:type="dcterms:W3CDTF">2015-06-05T18:17:20Z</dcterms:created>
  <dcterms:modified xsi:type="dcterms:W3CDTF">2026-06-17T13:48:44Z</dcterms:modified>
</cp:coreProperties>
</file>